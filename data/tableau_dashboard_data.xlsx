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pending" sheetId="1" state="visible" r:id="rId3"/>
    <sheet name="Cost_Center_Allocation" sheetId="2" state="visible" r:id="rId4"/>
    <sheet name="Top_Cost_Resources" sheetId="3" state="visible" r:id="rId5"/>
    <sheet name="Ab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<sst xmlns="http://schemas.openxmlformats.org/spreadsheetml/2006/main" count="67" uniqueCount="49">
  <si>
    <t xml:space="preserve">Company</t>
  </si>
  <si>
    <t xml:space="preserve">Projects</t>
  </si>
  <si>
    <t xml:space="preserve">Budget</t>
  </si>
  <si>
    <t xml:space="preserve">Spend</t>
  </si>
  <si>
    <t xml:space="preserve">Utilization</t>
  </si>
  <si>
    <t xml:space="preserve">FinTech Dynamics</t>
  </si>
  <si>
    <t xml:space="preserve">Global Retail Ltd</t>
  </si>
  <si>
    <t xml:space="preserve">Acme Corporation</t>
  </si>
  <si>
    <t xml:space="preserve">Cloud Innovations</t>
  </si>
  <si>
    <t xml:space="preserve">DataDrive Solutions</t>
  </si>
  <si>
    <t xml:space="preserve">TechStart Inc</t>
  </si>
  <si>
    <t xml:space="preserve">Department</t>
  </si>
  <si>
    <t xml:space="preserve">Allocated_Cost</t>
  </si>
  <si>
    <t xml:space="preserve">Backend Development</t>
  </si>
  <si>
    <t xml:space="preserve">Frontend Development</t>
  </si>
  <si>
    <t xml:space="preserve">Product Development</t>
  </si>
  <si>
    <t xml:space="preserve">Payment Systems</t>
  </si>
  <si>
    <t xml:space="preserve">Data Science</t>
  </si>
  <si>
    <t xml:space="preserve">Resource</t>
  </si>
  <si>
    <t xml:space="preserve">Resource_Type</t>
  </si>
  <si>
    <t xml:space="preserve">Category</t>
  </si>
  <si>
    <t xml:space="preserve">Month_Cost</t>
  </si>
  <si>
    <t xml:space="preserve">Pct_of_Total</t>
  </si>
  <si>
    <t xml:space="preserve">ecommerce-product-images</t>
  </si>
  <si>
    <t xml:space="preserve">S3 Standard Storage</t>
  </si>
  <si>
    <t xml:space="preserve">Storage</t>
  </si>
  <si>
    <t xml:space="preserve">mobile-app-assets</t>
  </si>
  <si>
    <t xml:space="preserve">ecommerce-web-server-01</t>
  </si>
  <si>
    <t xml:space="preserve">EC2 M5 Large Instance</t>
  </si>
  <si>
    <t xml:space="preserve">Compute</t>
  </si>
  <si>
    <t xml:space="preserve">customer-auth-function</t>
  </si>
  <si>
    <t xml:space="preserve">Lambda Function Invocation</t>
  </si>
  <si>
    <t xml:space="preserve">ecommerce-db-primary</t>
  </si>
  <si>
    <t xml:space="preserve">RDS MySQL Database</t>
  </si>
  <si>
    <t xml:space="preserve">Database</t>
  </si>
  <si>
    <t xml:space="preserve">analytics-processing-01</t>
  </si>
  <si>
    <t xml:space="preserve">customer-portal-db</t>
  </si>
  <si>
    <t xml:space="preserve">payment-transactions-db</t>
  </si>
  <si>
    <t xml:space="preserve">RDS PostgreSQL Database</t>
  </si>
  <si>
    <t xml:space="preserve">payment-gateway-01</t>
  </si>
  <si>
    <t xml:space="preserve">payment-gateway-02</t>
  </si>
  <si>
    <t xml:space="preserve">mobile-api-server</t>
  </si>
  <si>
    <t xml:space="preserve">EC2 T3 Medium Instance</t>
  </si>
  <si>
    <t xml:space="preserve">analytics-processing-02</t>
  </si>
  <si>
    <t xml:space="preserve">customer-portal-web</t>
  </si>
  <si>
    <t xml:space="preserve">Source: queries in sql/04_analytics_queries.sql run on a fresh load of sql/01_schema_and_seed.sql (synthetic data).</t>
  </si>
  <si>
    <t xml:space="preserve">Executive_Spending = Query 1 (active projects). Utilization = Spend / Budget.</t>
  </si>
  <si>
    <t xml:space="preserve">Cost_Center_Allocation = Query 2 (metered usage cost x allocation percentage).</t>
  </si>
  <si>
    <t xml:space="preserve">Top_Cost_Resources = Query 3 for November 2024. Pct_of_Total = Month_Cost / total month cost.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</si>
</sst>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.0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3</v>
      </c>
      <c r="C2" s="4" t="n">
        <v>147000</v>
      </c>
      <c r="D2" s="4" t="n">
        <v>57700</v>
      </c>
      <c r="E2" s="5" t="n">
        <f aca="false">D2/C2</f>
        <v>0.392517006802721</v>
      </c>
    </row>
    <row r="3" customFormat="false" ht="15" hidden="false" customHeight="false" outlineLevel="0" collapsed="false">
      <c r="A3" s="2" t="s">
        <v>6</v>
      </c>
      <c r="B3" s="3" t="n">
        <v>3</v>
      </c>
      <c r="C3" s="4" t="n">
        <v>100000</v>
      </c>
      <c r="D3" s="4" t="n">
        <v>39600</v>
      </c>
      <c r="E3" s="5" t="n">
        <f aca="false">D3/C3</f>
        <v>0.396</v>
      </c>
    </row>
    <row r="4" customFormat="false" ht="15" hidden="false" customHeight="false" outlineLevel="0" collapsed="false">
      <c r="A4" s="2" t="s">
        <v>7</v>
      </c>
      <c r="B4" s="3" t="n">
        <v>4</v>
      </c>
      <c r="C4" s="4" t="n">
        <v>120000</v>
      </c>
      <c r="D4" s="4" t="n">
        <v>39201.25</v>
      </c>
      <c r="E4" s="5" t="n">
        <f aca="false">D4/C4</f>
        <v>0.326677083333333</v>
      </c>
    </row>
    <row r="5" customFormat="false" ht="15" hidden="false" customHeight="false" outlineLevel="0" collapsed="false">
      <c r="A5" s="2" t="s">
        <v>8</v>
      </c>
      <c r="B5" s="3" t="n">
        <v>1</v>
      </c>
      <c r="C5" s="4" t="n">
        <v>60000</v>
      </c>
      <c r="D5" s="4" t="n">
        <v>22000</v>
      </c>
      <c r="E5" s="5" t="n">
        <f aca="false">D5/C5</f>
        <v>0.366666666666667</v>
      </c>
    </row>
    <row r="6" customFormat="false" ht="15" hidden="false" customHeight="false" outlineLevel="0" collapsed="false">
      <c r="A6" s="2" t="s">
        <v>9</v>
      </c>
      <c r="B6" s="3" t="n">
        <v>2</v>
      </c>
      <c r="C6" s="4" t="n">
        <v>46000</v>
      </c>
      <c r="D6" s="4" t="n">
        <v>18000</v>
      </c>
      <c r="E6" s="5" t="n">
        <f aca="false">D6/C6</f>
        <v>0.391304347826087</v>
      </c>
    </row>
    <row r="7" customFormat="false" ht="15" hidden="false" customHeight="false" outlineLevel="0" collapsed="false">
      <c r="A7" s="2" t="s">
        <v>10</v>
      </c>
      <c r="B7" s="3" t="n">
        <v>2</v>
      </c>
      <c r="C7" s="4" t="n">
        <v>50000</v>
      </c>
      <c r="D7" s="4" t="n">
        <v>17300</v>
      </c>
      <c r="E7" s="5" t="n">
        <f aca="false">D7/C7</f>
        <v>0.346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11</v>
      </c>
      <c r="B1" s="1" t="s">
        <v>1</v>
      </c>
      <c r="C1" s="1" t="s">
        <v>12</v>
      </c>
    </row>
    <row r="2" customFormat="false" ht="15" hidden="false" customHeight="false" outlineLevel="0" collapsed="false">
      <c r="A2" s="2" t="s">
        <v>13</v>
      </c>
      <c r="B2" s="3" t="n">
        <v>1</v>
      </c>
      <c r="C2" s="4" t="n">
        <v>32.58</v>
      </c>
    </row>
    <row r="3" customFormat="false" ht="15" hidden="false" customHeight="false" outlineLevel="0" collapsed="false">
      <c r="A3" s="2" t="s">
        <v>14</v>
      </c>
      <c r="B3" s="3" t="n">
        <v>1</v>
      </c>
      <c r="C3" s="4" t="n">
        <v>21.72</v>
      </c>
    </row>
    <row r="4" customFormat="false" ht="15" hidden="false" customHeight="false" outlineLevel="0" collapsed="false">
      <c r="A4" s="2" t="s">
        <v>15</v>
      </c>
      <c r="B4" s="3" t="n">
        <v>1</v>
      </c>
      <c r="C4" s="4" t="n">
        <v>12.108</v>
      </c>
    </row>
    <row r="5" customFormat="false" ht="15" hidden="false" customHeight="false" outlineLevel="0" collapsed="false">
      <c r="A5" s="2" t="s">
        <v>16</v>
      </c>
      <c r="B5" s="3" t="n">
        <v>1</v>
      </c>
      <c r="C5" s="4" t="n">
        <v>7.368</v>
      </c>
    </row>
    <row r="6" customFormat="false" ht="15" hidden="false" customHeight="false" outlineLevel="0" collapsed="false">
      <c r="A6" s="2" t="s">
        <v>17</v>
      </c>
      <c r="B6" s="3" t="n">
        <v>1</v>
      </c>
      <c r="C6" s="4" t="n">
        <v>5.376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5" min="4" style="0" width="13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4" t="n">
        <v>34.5</v>
      </c>
      <c r="E2" s="5" t="n">
        <f aca="false">D2/SUM($D$2:$D$14)</f>
        <v>0.346566480491823</v>
      </c>
    </row>
    <row r="3" customFormat="false" ht="15" hidden="false" customHeight="false" outlineLevel="0" collapsed="false">
      <c r="A3" s="2" t="s">
        <v>26</v>
      </c>
      <c r="B3" s="2" t="s">
        <v>24</v>
      </c>
      <c r="C3" s="2" t="s">
        <v>25</v>
      </c>
      <c r="D3" s="4" t="n">
        <v>18.4</v>
      </c>
      <c r="E3" s="5" t="n">
        <f aca="false">D3/SUM($D$2:$D$14)</f>
        <v>0.184835456262306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4" t="n">
        <v>11.52</v>
      </c>
      <c r="E4" s="5" t="n">
        <f aca="false">D4/SUM($D$2:$D$14)</f>
        <v>0.115723068268574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29</v>
      </c>
      <c r="D5" s="4" t="n">
        <v>8.35</v>
      </c>
      <c r="E5" s="5" t="n">
        <f aca="false">D5/SUM($D$2:$D$14)</f>
        <v>0.0838791336842528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4" t="n">
        <v>8.28</v>
      </c>
      <c r="E6" s="5" t="n">
        <f aca="false">D6/SUM($D$2:$D$14)</f>
        <v>0.0831759553180375</v>
      </c>
    </row>
    <row r="7" customFormat="false" ht="15" hidden="false" customHeight="false" outlineLevel="0" collapsed="false">
      <c r="A7" s="2" t="s">
        <v>35</v>
      </c>
      <c r="B7" s="2" t="s">
        <v>28</v>
      </c>
      <c r="C7" s="2" t="s">
        <v>29</v>
      </c>
      <c r="D7" s="4" t="n">
        <v>3.648</v>
      </c>
      <c r="E7" s="5" t="n">
        <f aca="false">D7/SUM($D$2:$D$14)</f>
        <v>0.0366456382850484</v>
      </c>
    </row>
    <row r="8" customFormat="false" ht="15" hidden="false" customHeight="false" outlineLevel="0" collapsed="false">
      <c r="A8" s="2" t="s">
        <v>36</v>
      </c>
      <c r="B8" s="2" t="s">
        <v>33</v>
      </c>
      <c r="C8" s="2" t="s">
        <v>34</v>
      </c>
      <c r="D8" s="4" t="n">
        <v>2.76</v>
      </c>
      <c r="E8" s="5" t="n">
        <f aca="false">D8/SUM($D$2:$D$14)</f>
        <v>0.0277253184393458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34</v>
      </c>
      <c r="D9" s="4" t="n">
        <v>2.76</v>
      </c>
      <c r="E9" s="5" t="n">
        <f aca="false">D9/SUM($D$2:$D$14)</f>
        <v>0.0277253184393458</v>
      </c>
    </row>
    <row r="10" customFormat="false" ht="15" hidden="false" customHeight="false" outlineLevel="0" collapsed="false">
      <c r="A10" s="2" t="s">
        <v>39</v>
      </c>
      <c r="B10" s="2" t="s">
        <v>28</v>
      </c>
      <c r="C10" s="2" t="s">
        <v>29</v>
      </c>
      <c r="D10" s="4" t="n">
        <v>2.304</v>
      </c>
      <c r="E10" s="5" t="n">
        <f aca="false">D10/SUM($D$2:$D$14)</f>
        <v>0.0231446136537148</v>
      </c>
    </row>
    <row r="11" customFormat="false" ht="15" hidden="false" customHeight="false" outlineLevel="0" collapsed="false">
      <c r="A11" s="2" t="s">
        <v>40</v>
      </c>
      <c r="B11" s="2" t="s">
        <v>28</v>
      </c>
      <c r="C11" s="2" t="s">
        <v>29</v>
      </c>
      <c r="D11" s="4" t="n">
        <v>2.304</v>
      </c>
      <c r="E11" s="5" t="n">
        <f aca="false">D11/SUM($D$2:$D$14)</f>
        <v>0.0231446136537148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29</v>
      </c>
      <c r="D12" s="4" t="n">
        <v>1.996</v>
      </c>
      <c r="E12" s="5" t="n">
        <f aca="false">D12/SUM($D$2:$D$14)</f>
        <v>0.0200506288423675</v>
      </c>
    </row>
    <row r="13" customFormat="false" ht="15" hidden="false" customHeight="false" outlineLevel="0" collapsed="false">
      <c r="A13" s="2" t="s">
        <v>43</v>
      </c>
      <c r="B13" s="2" t="s">
        <v>28</v>
      </c>
      <c r="C13" s="2" t="s">
        <v>29</v>
      </c>
      <c r="D13" s="4" t="n">
        <v>1.728</v>
      </c>
      <c r="E13" s="5" t="n">
        <f aca="false">D13/SUM($D$2:$D$14)</f>
        <v>0.0173584602402861</v>
      </c>
    </row>
    <row r="14" customFormat="false" ht="15" hidden="false" customHeight="false" outlineLevel="0" collapsed="false">
      <c r="A14" s="2" t="s">
        <v>44</v>
      </c>
      <c r="B14" s="2" t="s">
        <v>42</v>
      </c>
      <c r="C14" s="2" t="s">
        <v>29</v>
      </c>
      <c r="D14" s="4" t="n">
        <v>0.998</v>
      </c>
      <c r="E14" s="5" t="n">
        <f aca="false">D14/SUM($D$2:$D$14)</f>
        <v>0.0100253144211838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2" t="s">
        <v>47</v>
      </c>
    </row>
    <row r="4" customFormat="false" ht="15" hidden="false" customHeight="false" outlineLevel="0" collapsed="false">
      <c r="A4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2026-10-12T21:45:24Z</dcterms:created>
  <dc:creator>openpyxl</dc:creator>
  <dc:description/>
  <dc:language>en-US</dc:language>
  <cp:lastModifiedBy/>
  <dcterms:modified xsi:type="dcterms:W3CDTF">2026-10-12T21:45:24Z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